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Deliver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₽&quot;"/>
    <numFmt numFmtId="165" formatCode="0.0"/>
  </numFmts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  <font>
      <name val="Arial"/>
      <b val="1"/>
      <sz val="18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B7B7B7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pivotButton="0" quotePrefix="0" xfId="0"/>
    <xf numFmtId="165" fontId="2" fillId="4" borderId="1" pivotButton="0" quotePrefix="0" xfId="0"/>
    <xf numFmtId="164" fontId="2" fillId="4" borderId="1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1" fontId="1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  <xf numFmtId="1" fontId="2" fillId="2" borderId="1" applyAlignment="1" pivotButton="0" quotePrefix="0" xfId="0">
      <alignment vertical="top" wrapText="1"/>
    </xf>
    <xf numFmtId="165" fontId="2" fillId="2" borderId="1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9" fontId="1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8" customWidth="1" min="2" max="2"/>
    <col width="7" customWidth="1" min="3" max="3"/>
    <col width="11" customWidth="1" min="4" max="4"/>
    <col width="17" customWidth="1" min="5" max="5"/>
    <col width="12" customWidth="1" min="6" max="6"/>
    <col width="12" customWidth="1" min="7" max="7"/>
    <col width="16" customWidth="1" min="8" max="8"/>
    <col width="60" customWidth="1" min="9" max="9"/>
  </cols>
  <sheetData>
    <row r="1">
      <c r="B1" s="1" t="inlineStr">
        <is>
          <t>MediBook WBS</t>
        </is>
      </c>
    </row>
    <row r="2">
      <c r="A2" s="2" t="inlineStr">
        <is>
          <t>№</t>
        </is>
      </c>
      <c r="B2" s="2" t="inlineStr">
        <is>
          <t>Задача</t>
        </is>
      </c>
      <c r="C2" s="2" t="inlineStr">
        <is>
          <t>Type</t>
        </is>
      </c>
      <c r="D2" s="2" t="inlineStr">
        <is>
          <t>Iterations</t>
        </is>
      </c>
      <c r="E2" s="2" t="inlineStr">
        <is>
          <t>Estimate (hours)</t>
        </is>
      </c>
      <c r="F2" s="2" t="inlineStr">
        <is>
          <t>Total days</t>
        </is>
      </c>
      <c r="G2" s="2" t="inlineStr">
        <is>
          <t>Rate</t>
        </is>
      </c>
      <c r="H2" s="2" t="inlineStr">
        <is>
          <t>Total Price</t>
        </is>
      </c>
      <c r="I2" s="2" t="inlineStr">
        <is>
          <t>Notes</t>
        </is>
      </c>
    </row>
    <row r="3">
      <c r="A3" s="3" t="n"/>
      <c r="B3" s="4" t="inlineStr">
        <is>
          <t>Phase 1. BFF</t>
        </is>
      </c>
      <c r="C3" s="3" t="n"/>
      <c r="D3" s="3" t="n"/>
      <c r="E3" s="4" t="n"/>
      <c r="F3" s="5">
        <f>SUM(F4:F7)</f>
        <v>9</v>
      </c>
      <c r="G3" s="4" t="n"/>
      <c r="H3" s="6">
        <f>SUM(H4:H7)</f>
        <v>180000</v>
      </c>
      <c r="I3" s="4" t="n"/>
    </row>
    <row r="4">
      <c r="A4" s="7" t="n">
        <v>1</v>
      </c>
      <c r="B4" s="8" t="inlineStr">
        <is>
          <t>Маршруты и сборка ответов, 10 маршрутов, OpenAPI</t>
        </is>
      </c>
      <c r="C4" s="7" t="inlineStr">
        <is>
          <t>dev</t>
        </is>
      </c>
      <c r="D4" s="7" t="n">
        <v>1</v>
      </c>
      <c r="E4" s="9" t="n">
        <v>28</v>
      </c>
      <c r="F4" s="10">
        <f>E4*D4/8</f>
        <v>3.5</v>
      </c>
      <c r="G4" s="11">
        <f>Assumptions!$C$8</f>
        <v>2500</v>
      </c>
      <c r="H4" s="11">
        <f>F4*G4*8</f>
        <v>70000</v>
      </c>
      <c r="I4" s="8" t="inlineStr"/>
    </row>
    <row r="5">
      <c r="A5" s="7" t="n">
        <v>2</v>
      </c>
      <c r="B5" s="8" t="inlineStr">
        <is>
          <t>Проверка JWT и ролей, единый формат ошибок</t>
        </is>
      </c>
      <c r="C5" s="7" t="inlineStr">
        <is>
          <t>dev</t>
        </is>
      </c>
      <c r="D5" s="7" t="n">
        <v>1</v>
      </c>
      <c r="E5" s="9" t="n">
        <v>20</v>
      </c>
      <c r="F5" s="10">
        <f>E5*D5/8</f>
        <v>2.5</v>
      </c>
      <c r="G5" s="11">
        <f>Assumptions!$C$8</f>
        <v>2500</v>
      </c>
      <c r="H5" s="11">
        <f>F5*G5*8</f>
        <v>50000</v>
      </c>
      <c r="I5" s="8" t="inlineStr">
        <is>
          <t>NFR-03</t>
        </is>
      </c>
    </row>
    <row r="6">
      <c r="A6" s="7" t="n">
        <v>3</v>
      </c>
      <c r="B6" s="8" t="inlineStr">
        <is>
          <t>Таймауты и rate limit</t>
        </is>
      </c>
      <c r="C6" s="7" t="inlineStr">
        <is>
          <t>dev</t>
        </is>
      </c>
      <c r="D6" s="7" t="n">
        <v>1</v>
      </c>
      <c r="E6" s="9" t="n">
        <v>12</v>
      </c>
      <c r="F6" s="10">
        <f>E6*D6/8</f>
        <v>1.5</v>
      </c>
      <c r="G6" s="11">
        <f>Assumptions!$C$8</f>
        <v>2500</v>
      </c>
      <c r="H6" s="11">
        <f>F6*G6*8</f>
        <v>30000</v>
      </c>
      <c r="I6" s="8" t="inlineStr">
        <is>
          <t>NFR-05</t>
        </is>
      </c>
    </row>
    <row r="7">
      <c r="A7" s="7" t="n">
        <v>4</v>
      </c>
      <c r="B7" s="8" t="inlineStr">
        <is>
          <t>API-тесты</t>
        </is>
      </c>
      <c r="C7" s="7" t="inlineStr">
        <is>
          <t>tst</t>
        </is>
      </c>
      <c r="D7" s="7" t="n">
        <v>1</v>
      </c>
      <c r="E7" s="9" t="n">
        <v>12</v>
      </c>
      <c r="F7" s="10">
        <f>E7*D7/8</f>
        <v>1.5</v>
      </c>
      <c r="G7" s="11">
        <f>Assumptions!$C$8</f>
        <v>2500</v>
      </c>
      <c r="H7" s="11">
        <f>F7*G7*8</f>
        <v>30000</v>
      </c>
      <c r="I7" s="8" t="inlineStr"/>
    </row>
    <row r="8">
      <c r="A8" s="3" t="n"/>
      <c r="B8" s="4" t="inlineStr">
        <is>
          <t>Phase 2. Appointment Service</t>
        </is>
      </c>
      <c r="C8" s="3" t="n"/>
      <c r="D8" s="3" t="n"/>
      <c r="E8" s="4" t="n"/>
      <c r="F8" s="5">
        <f>SUM(F9:F18)</f>
        <v>32</v>
      </c>
      <c r="G8" s="4" t="n"/>
      <c r="H8" s="6">
        <f>SUM(H9:H18)</f>
        <v>640000</v>
      </c>
      <c r="I8" s="4" t="n"/>
    </row>
    <row r="9">
      <c r="A9" s="7" t="n">
        <v>5</v>
      </c>
      <c r="B9" s="8" t="inlineStr">
        <is>
          <t>Модель данных и миграции</t>
        </is>
      </c>
      <c r="C9" s="7" t="inlineStr">
        <is>
          <t>dev</t>
        </is>
      </c>
      <c r="D9" s="7" t="n">
        <v>1</v>
      </c>
      <c r="E9" s="9" t="n">
        <v>16</v>
      </c>
      <c r="F9" s="10">
        <f>E9*D9/8</f>
        <v>2</v>
      </c>
      <c r="G9" s="11">
        <f>Assumptions!$C$8</f>
        <v>2500</v>
      </c>
      <c r="H9" s="11">
        <f>F9*G9*8</f>
        <v>40000</v>
      </c>
      <c r="I9" s="8" t="inlineStr"/>
    </row>
    <row r="10">
      <c r="A10" s="7" t="n">
        <v>6</v>
      </c>
      <c r="B10" s="8" t="inlineStr">
        <is>
          <t>POST /appointments: проверка слота, запись одной транзакцией</t>
        </is>
      </c>
      <c r="C10" s="7" t="inlineStr">
        <is>
          <t>dev</t>
        </is>
      </c>
      <c r="D10" s="7" t="n">
        <v>1</v>
      </c>
      <c r="E10" s="9" t="n">
        <v>40</v>
      </c>
      <c r="F10" s="10">
        <f>E10*D10/8</f>
        <v>5</v>
      </c>
      <c r="G10" s="11">
        <f>Assumptions!$C$8</f>
        <v>2500</v>
      </c>
      <c r="H10" s="11">
        <f>F10*G10*8</f>
        <v>100000</v>
      </c>
      <c r="I10" s="8" t="inlineStr">
        <is>
          <t>ADR-001</t>
        </is>
      </c>
    </row>
    <row r="11">
      <c r="A11" s="7" t="n">
        <v>7</v>
      </c>
      <c r="B11" s="8" t="inlineStr">
        <is>
          <t>Idempotency key</t>
        </is>
      </c>
      <c r="C11" s="7" t="inlineStr">
        <is>
          <t>dev</t>
        </is>
      </c>
      <c r="D11" s="7" t="n">
        <v>1</v>
      </c>
      <c r="E11" s="9" t="n">
        <v>24</v>
      </c>
      <c r="F11" s="10">
        <f>E11*D11/8</f>
        <v>3</v>
      </c>
      <c r="G11" s="11">
        <f>Assumptions!$C$8</f>
        <v>2500</v>
      </c>
      <c r="H11" s="11">
        <f>F11*G11*8</f>
        <v>60000</v>
      </c>
      <c r="I11" s="8" t="inlineStr">
        <is>
          <t>ADR-001</t>
        </is>
      </c>
    </row>
    <row r="12">
      <c r="A12" s="7" t="n">
        <v>8</v>
      </c>
      <c r="B12" s="8" t="inlineStr">
        <is>
          <t>Статусы записи, отмена</t>
        </is>
      </c>
      <c r="C12" s="7" t="inlineStr">
        <is>
          <t>dev</t>
        </is>
      </c>
      <c r="D12" s="7" t="n">
        <v>1</v>
      </c>
      <c r="E12" s="9" t="n">
        <v>32</v>
      </c>
      <c r="F12" s="10">
        <f>E12*D12/8</f>
        <v>4</v>
      </c>
      <c r="G12" s="11">
        <f>Assumptions!$C$8</f>
        <v>2500</v>
      </c>
      <c r="H12" s="11">
        <f>F12*G12*8</f>
        <v>80000</v>
      </c>
      <c r="I12" s="8" t="inlineStr">
        <is>
          <t>FR-02</t>
        </is>
      </c>
    </row>
    <row r="13">
      <c r="A13" s="7" t="n">
        <v>9</v>
      </c>
      <c r="B13" s="8" t="inlineStr">
        <is>
          <t>Outbox и публикация событий</t>
        </is>
      </c>
      <c r="C13" s="7" t="inlineStr">
        <is>
          <t>dev</t>
        </is>
      </c>
      <c r="D13" s="7" t="n">
        <v>1</v>
      </c>
      <c r="E13" s="9" t="n">
        <v>32</v>
      </c>
      <c r="F13" s="10">
        <f>E13*D13/8</f>
        <v>4</v>
      </c>
      <c r="G13" s="11">
        <f>Assumptions!$C$8</f>
        <v>2500</v>
      </c>
      <c r="H13" s="11">
        <f>F13*G13*8</f>
        <v>80000</v>
      </c>
      <c r="I13" s="8" t="inlineStr">
        <is>
          <t>ADR-002</t>
        </is>
      </c>
    </row>
    <row r="14">
      <c r="A14" s="7" t="n">
        <v>10</v>
      </c>
      <c r="B14" s="8" t="inlineStr">
        <is>
          <t>Чтение: записи пациента, расписание врача</t>
        </is>
      </c>
      <c r="C14" s="7" t="inlineStr">
        <is>
          <t>dev</t>
        </is>
      </c>
      <c r="D14" s="7" t="n">
        <v>1</v>
      </c>
      <c r="E14" s="9" t="n">
        <v>20</v>
      </c>
      <c r="F14" s="10">
        <f>E14*D14/8</f>
        <v>2.5</v>
      </c>
      <c r="G14" s="11">
        <f>Assumptions!$C$8</f>
        <v>2500</v>
      </c>
      <c r="H14" s="11">
        <f>F14*G14*8</f>
        <v>50000</v>
      </c>
      <c r="I14" s="8" t="inlineStr">
        <is>
          <t>FR-04</t>
        </is>
      </c>
    </row>
    <row r="15">
      <c r="A15" s="7" t="n">
        <v>11</v>
      </c>
      <c r="B15" s="8" t="inlineStr">
        <is>
          <t>Пациент видит только свои записи</t>
        </is>
      </c>
      <c r="C15" s="7" t="inlineStr">
        <is>
          <t>dev</t>
        </is>
      </c>
      <c r="D15" s="7" t="n">
        <v>1</v>
      </c>
      <c r="E15" s="9" t="n">
        <v>16</v>
      </c>
      <c r="F15" s="10">
        <f>E15*D15/8</f>
        <v>2</v>
      </c>
      <c r="G15" s="11">
        <f>Assumptions!$C$8</f>
        <v>2500</v>
      </c>
      <c r="H15" s="11">
        <f>F15*G15*8</f>
        <v>40000</v>
      </c>
      <c r="I15" s="8" t="inlineStr">
        <is>
          <t>NFR-03</t>
        </is>
      </c>
    </row>
    <row r="16">
      <c r="A16" s="7" t="n">
        <v>12</v>
      </c>
      <c r="B16" s="8" t="inlineStr">
        <is>
          <t>Конкурентный тест: 50 запросов на один слот</t>
        </is>
      </c>
      <c r="C16" s="7" t="inlineStr">
        <is>
          <t>tst</t>
        </is>
      </c>
      <c r="D16" s="7" t="n">
        <v>2</v>
      </c>
      <c r="E16" s="9" t="n">
        <v>16</v>
      </c>
      <c r="F16" s="10">
        <f>E16*D16/8</f>
        <v>4</v>
      </c>
      <c r="G16" s="11">
        <f>Assumptions!$C$8</f>
        <v>2500</v>
      </c>
      <c r="H16" s="11">
        <f>F16*G16*8</f>
        <v>80000</v>
      </c>
      <c r="I16" s="8" t="inlineStr">
        <is>
          <t>NFR-02, второй прогон после исправлений</t>
        </is>
      </c>
    </row>
    <row r="17">
      <c r="A17" s="7" t="n">
        <v>13</v>
      </c>
      <c r="B17" s="8" t="inlineStr">
        <is>
          <t>Интеграционные тесты</t>
        </is>
      </c>
      <c r="C17" s="7" t="inlineStr">
        <is>
          <t>tst</t>
        </is>
      </c>
      <c r="D17" s="7" t="n">
        <v>1</v>
      </c>
      <c r="E17" s="9" t="n">
        <v>32</v>
      </c>
      <c r="F17" s="10">
        <f>E17*D17/8</f>
        <v>4</v>
      </c>
      <c r="G17" s="11">
        <f>Assumptions!$C$8</f>
        <v>2500</v>
      </c>
      <c r="H17" s="11">
        <f>F17*G17*8</f>
        <v>80000</v>
      </c>
      <c r="I17" s="8" t="inlineStr"/>
    </row>
    <row r="18">
      <c r="A18" s="7" t="n">
        <v>14</v>
      </c>
      <c r="B18" s="8" t="inlineStr">
        <is>
          <t>Логи и метрики</t>
        </is>
      </c>
      <c r="C18" s="7" t="inlineStr">
        <is>
          <t>dev</t>
        </is>
      </c>
      <c r="D18" s="7" t="n">
        <v>1</v>
      </c>
      <c r="E18" s="9" t="n">
        <v>12</v>
      </c>
      <c r="F18" s="10">
        <f>E18*D18/8</f>
        <v>1.5</v>
      </c>
      <c r="G18" s="11">
        <f>Assumptions!$C$8</f>
        <v>2500</v>
      </c>
      <c r="H18" s="11">
        <f>F18*G18*8</f>
        <v>30000</v>
      </c>
      <c r="I18" s="8" t="inlineStr">
        <is>
          <t>NFR-06</t>
        </is>
      </c>
    </row>
    <row r="19">
      <c r="A19" s="3" t="n"/>
      <c r="B19" s="4" t="inlineStr">
        <is>
          <t>Phase 3. Schedule Service</t>
        </is>
      </c>
      <c r="C19" s="3" t="n"/>
      <c r="D19" s="3" t="n"/>
      <c r="E19" s="4" t="n"/>
      <c r="F19" s="5">
        <f>SUM(F20:F30)</f>
        <v>53</v>
      </c>
      <c r="G19" s="4" t="n"/>
      <c r="H19" s="6">
        <f>SUM(H20:H30)</f>
        <v>1060000</v>
      </c>
      <c r="I19" s="4" t="n"/>
    </row>
    <row r="20">
      <c r="A20" s="7" t="n">
        <v>15</v>
      </c>
      <c r="B20" s="8" t="inlineStr">
        <is>
          <t>Spike: разобраться с External Schedule API</t>
        </is>
      </c>
      <c r="C20" s="7" t="inlineStr">
        <is>
          <t>sa</t>
        </is>
      </c>
      <c r="D20" s="7" t="n">
        <v>1</v>
      </c>
      <c r="E20" s="9" t="n">
        <v>40</v>
      </c>
      <c r="F20" s="10">
        <f>E20*D20/8</f>
        <v>5</v>
      </c>
      <c r="G20" s="11">
        <f>Assumptions!$C$8</f>
        <v>2500</v>
      </c>
      <c r="H20" s="11">
        <f>F20*G20*8</f>
        <v>100000</v>
      </c>
      <c r="I20" s="8" t="inlineStr">
        <is>
          <t>5 дней, после него оценка пересматривается</t>
        </is>
      </c>
    </row>
    <row r="21">
      <c r="A21" s="7" t="n">
        <v>16</v>
      </c>
      <c r="B21" s="8" t="inlineStr">
        <is>
          <t>Модель слотов, CRUD слотов для администратора</t>
        </is>
      </c>
      <c r="C21" s="7" t="inlineStr">
        <is>
          <t>dev</t>
        </is>
      </c>
      <c r="D21" s="7" t="n">
        <v>1</v>
      </c>
      <c r="E21" s="9" t="n">
        <v>64</v>
      </c>
      <c r="F21" s="10">
        <f>E21*D21/8</f>
        <v>8</v>
      </c>
      <c r="G21" s="11">
        <f>Assumptions!$C$8</f>
        <v>2500</v>
      </c>
      <c r="H21" s="11">
        <f>F21*G21*8</f>
        <v>160000</v>
      </c>
      <c r="I21" s="8" t="inlineStr">
        <is>
          <t>FR-03</t>
        </is>
      </c>
    </row>
    <row r="22">
      <c r="A22" s="7" t="n">
        <v>17</v>
      </c>
      <c r="B22" s="8" t="inlineStr">
        <is>
          <t>Поиск свободных слотов: чтение с реплики, индексы</t>
        </is>
      </c>
      <c r="C22" s="7" t="inlineStr">
        <is>
          <t>dev</t>
        </is>
      </c>
      <c r="D22" s="7" t="n">
        <v>1</v>
      </c>
      <c r="E22" s="9" t="n">
        <v>32</v>
      </c>
      <c r="F22" s="10">
        <f>E22*D22/8</f>
        <v>4</v>
      </c>
      <c r="G22" s="11">
        <f>Assumptions!$C$8</f>
        <v>2500</v>
      </c>
      <c r="H22" s="11">
        <f>F22*G22*8</f>
        <v>80000</v>
      </c>
      <c r="I22" s="8" t="inlineStr">
        <is>
          <t>NFR-01</t>
        </is>
      </c>
    </row>
    <row r="23">
      <c r="A23" s="7" t="n">
        <v>18</v>
      </c>
      <c r="B23" s="8" t="inlineStr">
        <is>
          <t>Redis-кэш слотов и его сброс</t>
        </is>
      </c>
      <c r="C23" s="7" t="inlineStr">
        <is>
          <t>dev</t>
        </is>
      </c>
      <c r="D23" s="7" t="n">
        <v>1</v>
      </c>
      <c r="E23" s="9" t="n">
        <v>40</v>
      </c>
      <c r="F23" s="10">
        <f>E23*D23/8</f>
        <v>5</v>
      </c>
      <c r="G23" s="11">
        <f>Assumptions!$C$8</f>
        <v>2500</v>
      </c>
      <c r="H23" s="11">
        <f>F23*G23*8</f>
        <v>100000</v>
      </c>
      <c r="I23" s="8" t="inlineStr">
        <is>
          <t>NFR-01</t>
        </is>
      </c>
    </row>
    <row r="24">
      <c r="A24" s="7" t="n">
        <v>19</v>
      </c>
      <c r="B24" s="8" t="inlineStr">
        <is>
          <t>Адаптер External Schedule API</t>
        </is>
      </c>
      <c r="C24" s="7" t="inlineStr">
        <is>
          <t>dev</t>
        </is>
      </c>
      <c r="D24" s="7" t="n">
        <v>1</v>
      </c>
      <c r="E24" s="9" t="n">
        <v>64</v>
      </c>
      <c r="F24" s="10">
        <f>E24*D24/8</f>
        <v>8</v>
      </c>
      <c r="G24" s="11">
        <f>Assumptions!$C$8</f>
        <v>2500</v>
      </c>
      <c r="H24" s="11">
        <f>F24*G24*8</f>
        <v>160000</v>
      </c>
      <c r="I24" s="8" t="inlineStr">
        <is>
          <t>оценка до spike</t>
        </is>
      </c>
    </row>
    <row r="25">
      <c r="A25" s="7" t="n">
        <v>20</v>
      </c>
      <c r="B25" s="8" t="inlineStr">
        <is>
          <t>Синхронизация расписания и сверка</t>
        </is>
      </c>
      <c r="C25" s="7" t="inlineStr">
        <is>
          <t>dev</t>
        </is>
      </c>
      <c r="D25" s="7" t="n">
        <v>1</v>
      </c>
      <c r="E25" s="9" t="n">
        <v>48</v>
      </c>
      <c r="F25" s="10">
        <f>E25*D25/8</f>
        <v>6</v>
      </c>
      <c r="G25" s="11">
        <f>Assumptions!$C$8</f>
        <v>2500</v>
      </c>
      <c r="H25" s="11">
        <f>F25*G25*8</f>
        <v>120000</v>
      </c>
      <c r="I25" s="8" t="inlineStr">
        <is>
          <t>оценка до spike</t>
        </is>
      </c>
    </row>
    <row r="26">
      <c r="A26" s="7" t="n">
        <v>21</v>
      </c>
      <c r="B26" s="8" t="inlineStr">
        <is>
          <t>Работа, когда внешний API недоступен</t>
        </is>
      </c>
      <c r="C26" s="7" t="inlineStr">
        <is>
          <t>dev</t>
        </is>
      </c>
      <c r="D26" s="7" t="n">
        <v>1</v>
      </c>
      <c r="E26" s="9" t="n">
        <v>24</v>
      </c>
      <c r="F26" s="10">
        <f>E26*D26/8</f>
        <v>3</v>
      </c>
      <c r="G26" s="11">
        <f>Assumptions!$C$8</f>
        <v>2500</v>
      </c>
      <c r="H26" s="11">
        <f>F26*G26*8</f>
        <v>60000</v>
      </c>
      <c r="I26" s="8" t="inlineStr">
        <is>
          <t>NFR-05</t>
        </is>
      </c>
    </row>
    <row r="27">
      <c r="A27" s="7" t="n">
        <v>22</v>
      </c>
      <c r="B27" s="8" t="inlineStr">
        <is>
          <t>Проверка слота для Appointment Service</t>
        </is>
      </c>
      <c r="C27" s="7" t="inlineStr">
        <is>
          <t>dev</t>
        </is>
      </c>
      <c r="D27" s="7" t="n">
        <v>1</v>
      </c>
      <c r="E27" s="9" t="n">
        <v>16</v>
      </c>
      <c r="F27" s="10">
        <f>E27*D27/8</f>
        <v>2</v>
      </c>
      <c r="G27" s="11">
        <f>Assumptions!$C$8</f>
        <v>2500</v>
      </c>
      <c r="H27" s="11">
        <f>F27*G27*8</f>
        <v>40000</v>
      </c>
      <c r="I27" s="8" t="inlineStr"/>
    </row>
    <row r="28">
      <c r="A28" s="7" t="n">
        <v>23</v>
      </c>
      <c r="B28" s="8" t="inlineStr">
        <is>
          <t>Нагрузочный тест поиска, 1000 RPS</t>
        </is>
      </c>
      <c r="C28" s="7" t="inlineStr">
        <is>
          <t>tst</t>
        </is>
      </c>
      <c r="D28" s="7" t="n">
        <v>2</v>
      </c>
      <c r="E28" s="9" t="n">
        <v>20</v>
      </c>
      <c r="F28" s="10">
        <f>E28*D28/8</f>
        <v>5</v>
      </c>
      <c r="G28" s="11">
        <f>Assumptions!$C$8</f>
        <v>2500</v>
      </c>
      <c r="H28" s="11">
        <f>F28*G28*8</f>
        <v>100000</v>
      </c>
      <c r="I28" s="8" t="inlineStr">
        <is>
          <t>NFR-01, второй прогон после настройки</t>
        </is>
      </c>
    </row>
    <row r="29">
      <c r="A29" s="7" t="n">
        <v>24</v>
      </c>
      <c r="B29" s="8" t="inlineStr">
        <is>
          <t>Интеграционные тесты с заглушкой внешнего API</t>
        </is>
      </c>
      <c r="C29" s="7" t="inlineStr">
        <is>
          <t>tst</t>
        </is>
      </c>
      <c r="D29" s="7" t="n">
        <v>1</v>
      </c>
      <c r="E29" s="9" t="n">
        <v>40</v>
      </c>
      <c r="F29" s="10">
        <f>E29*D29/8</f>
        <v>5</v>
      </c>
      <c r="G29" s="11">
        <f>Assumptions!$C$8</f>
        <v>2500</v>
      </c>
      <c r="H29" s="11">
        <f>F29*G29*8</f>
        <v>100000</v>
      </c>
      <c r="I29" s="8" t="inlineStr"/>
    </row>
    <row r="30">
      <c r="A30" s="7" t="n">
        <v>25</v>
      </c>
      <c r="B30" s="8" t="inlineStr">
        <is>
          <t>Логи и метрики</t>
        </is>
      </c>
      <c r="C30" s="7" t="inlineStr">
        <is>
          <t>dev</t>
        </is>
      </c>
      <c r="D30" s="7" t="n">
        <v>1</v>
      </c>
      <c r="E30" s="9" t="n">
        <v>16</v>
      </c>
      <c r="F30" s="10">
        <f>E30*D30/8</f>
        <v>2</v>
      </c>
      <c r="G30" s="11">
        <f>Assumptions!$C$8</f>
        <v>2500</v>
      </c>
      <c r="H30" s="11">
        <f>F30*G30*8</f>
        <v>40000</v>
      </c>
      <c r="I30" s="8" t="inlineStr">
        <is>
          <t>NFR-06</t>
        </is>
      </c>
    </row>
    <row r="31">
      <c r="A31" s="3" t="n"/>
      <c r="B31" s="4" t="inlineStr">
        <is>
          <t>Phase 4. Notification Worker</t>
        </is>
      </c>
      <c r="C31" s="3" t="n"/>
      <c r="D31" s="3" t="n"/>
      <c r="E31" s="4" t="n"/>
      <c r="F31" s="5">
        <f>SUM(F32:F38)</f>
        <v>16</v>
      </c>
      <c r="G31" s="4" t="n"/>
      <c r="H31" s="6">
        <f>SUM(H32:H38)</f>
        <v>320000</v>
      </c>
      <c r="I31" s="4" t="n"/>
    </row>
    <row r="32">
      <c r="A32" s="7" t="n">
        <v>26</v>
      </c>
      <c r="B32" s="8" t="inlineStr">
        <is>
          <t>Чтение событий из очереди, защита от дублей</t>
        </is>
      </c>
      <c r="C32" s="7" t="inlineStr">
        <is>
          <t>dev</t>
        </is>
      </c>
      <c r="D32" s="7" t="n">
        <v>1</v>
      </c>
      <c r="E32" s="9" t="n">
        <v>20</v>
      </c>
      <c r="F32" s="10">
        <f>E32*D32/8</f>
        <v>2.5</v>
      </c>
      <c r="G32" s="11">
        <f>Assumptions!$C$8</f>
        <v>2500</v>
      </c>
      <c r="H32" s="11">
        <f>F32*G32*8</f>
        <v>50000</v>
      </c>
      <c r="I32" s="8" t="inlineStr">
        <is>
          <t>ADR-002</t>
        </is>
      </c>
    </row>
    <row r="33">
      <c r="A33" s="7" t="n">
        <v>27</v>
      </c>
      <c r="B33" s="8" t="inlineStr">
        <is>
          <t>Шаблоны уведомлений</t>
        </is>
      </c>
      <c r="C33" s="7" t="inlineStr">
        <is>
          <t>dev</t>
        </is>
      </c>
      <c r="D33" s="7" t="n">
        <v>1</v>
      </c>
      <c r="E33" s="9" t="n">
        <v>12</v>
      </c>
      <c r="F33" s="10">
        <f>E33*D33/8</f>
        <v>1.5</v>
      </c>
      <c r="G33" s="11">
        <f>Assumptions!$C$8</f>
        <v>2500</v>
      </c>
      <c r="H33" s="11">
        <f>F33*G33*8</f>
        <v>30000</v>
      </c>
      <c r="I33" s="8" t="inlineStr">
        <is>
          <t>FR-05</t>
        </is>
      </c>
    </row>
    <row r="34">
      <c r="A34" s="7" t="n">
        <v>28</v>
      </c>
      <c r="B34" s="8" t="inlineStr">
        <is>
          <t>Отправка SMS и email</t>
        </is>
      </c>
      <c r="C34" s="7" t="inlineStr">
        <is>
          <t>dev</t>
        </is>
      </c>
      <c r="D34" s="7" t="n">
        <v>1</v>
      </c>
      <c r="E34" s="9" t="n">
        <v>24</v>
      </c>
      <c r="F34" s="10">
        <f>E34*D34/8</f>
        <v>3</v>
      </c>
      <c r="G34" s="11">
        <f>Assumptions!$C$8</f>
        <v>2500</v>
      </c>
      <c r="H34" s="11">
        <f>F34*G34*8</f>
        <v>60000</v>
      </c>
      <c r="I34" s="8" t="inlineStr"/>
    </row>
    <row r="35">
      <c r="A35" s="7" t="n">
        <v>29</v>
      </c>
      <c r="B35" s="8" t="inlineStr">
        <is>
          <t>Retry и DLQ</t>
        </is>
      </c>
      <c r="C35" s="7" t="inlineStr">
        <is>
          <t>dev</t>
        </is>
      </c>
      <c r="D35" s="7" t="n">
        <v>1</v>
      </c>
      <c r="E35" s="9" t="n">
        <v>24</v>
      </c>
      <c r="F35" s="10">
        <f>E35*D35/8</f>
        <v>3</v>
      </c>
      <c r="G35" s="11">
        <f>Assumptions!$C$8</f>
        <v>2500</v>
      </c>
      <c r="H35" s="11">
        <f>F35*G35*8</f>
        <v>60000</v>
      </c>
      <c r="I35" s="8" t="inlineStr">
        <is>
          <t>ADR-002</t>
        </is>
      </c>
    </row>
    <row r="36">
      <c r="A36" s="7" t="n">
        <v>30</v>
      </c>
      <c r="B36" s="8" t="inlineStr">
        <is>
          <t>Журнал доставки</t>
        </is>
      </c>
      <c r="C36" s="7" t="inlineStr">
        <is>
          <t>dev</t>
        </is>
      </c>
      <c r="D36" s="7" t="n">
        <v>1</v>
      </c>
      <c r="E36" s="9" t="n">
        <v>12</v>
      </c>
      <c r="F36" s="10">
        <f>E36*D36/8</f>
        <v>1.5</v>
      </c>
      <c r="G36" s="11">
        <f>Assumptions!$C$8</f>
        <v>2500</v>
      </c>
      <c r="H36" s="11">
        <f>F36*G36*8</f>
        <v>30000</v>
      </c>
      <c r="I36" s="8" t="inlineStr"/>
    </row>
    <row r="37">
      <c r="A37" s="7" t="n">
        <v>31</v>
      </c>
      <c r="B37" s="8" t="inlineStr">
        <is>
          <t>Тесты с заглушкой провайдера</t>
        </is>
      </c>
      <c r="C37" s="7" t="inlineStr">
        <is>
          <t>tst</t>
        </is>
      </c>
      <c r="D37" s="7" t="n">
        <v>1</v>
      </c>
      <c r="E37" s="9" t="n">
        <v>24</v>
      </c>
      <c r="F37" s="10">
        <f>E37*D37/8</f>
        <v>3</v>
      </c>
      <c r="G37" s="11">
        <f>Assumptions!$C$8</f>
        <v>2500</v>
      </c>
      <c r="H37" s="11">
        <f>F37*G37*8</f>
        <v>60000</v>
      </c>
      <c r="I37" s="8" t="inlineStr"/>
    </row>
    <row r="38">
      <c r="A38" s="7" t="n">
        <v>32</v>
      </c>
      <c r="B38" s="8" t="inlineStr">
        <is>
          <t>Метрики очереди и DLQ</t>
        </is>
      </c>
      <c r="C38" s="7" t="inlineStr">
        <is>
          <t>dev</t>
        </is>
      </c>
      <c r="D38" s="7" t="n">
        <v>1</v>
      </c>
      <c r="E38" s="9" t="n">
        <v>12</v>
      </c>
      <c r="F38" s="10">
        <f>E38*D38/8</f>
        <v>1.5</v>
      </c>
      <c r="G38" s="11">
        <f>Assumptions!$C$8</f>
        <v>2500</v>
      </c>
      <c r="H38" s="11">
        <f>F38*G38*8</f>
        <v>30000</v>
      </c>
      <c r="I38" s="8" t="inlineStr">
        <is>
          <t>NFR-06</t>
        </is>
      </c>
    </row>
    <row r="39">
      <c r="A39" s="3" t="n"/>
      <c r="B39" s="4" t="inlineStr">
        <is>
          <t>Phase 5. Audit Service</t>
        </is>
      </c>
      <c r="C39" s="3" t="n"/>
      <c r="D39" s="3" t="n"/>
      <c r="E39" s="4" t="n"/>
      <c r="F39" s="5">
        <f>SUM(F40:F47)</f>
        <v>19</v>
      </c>
      <c r="G39" s="4" t="n"/>
      <c r="H39" s="6">
        <f>SUM(H40:H47)</f>
        <v>380000</v>
      </c>
      <c r="I39" s="4" t="n"/>
    </row>
    <row r="40">
      <c r="A40" s="7" t="n">
        <v>33</v>
      </c>
      <c r="B40" s="8" t="inlineStr">
        <is>
          <t>Модель события и API записи</t>
        </is>
      </c>
      <c r="C40" s="7" t="inlineStr">
        <is>
          <t>dev</t>
        </is>
      </c>
      <c r="D40" s="7" t="n">
        <v>1</v>
      </c>
      <c r="E40" s="9" t="n">
        <v>16</v>
      </c>
      <c r="F40" s="10">
        <f>E40*D40/8</f>
        <v>2</v>
      </c>
      <c r="G40" s="11">
        <f>Assumptions!$C$8</f>
        <v>2500</v>
      </c>
      <c r="H40" s="11">
        <f>F40*G40*8</f>
        <v>40000</v>
      </c>
      <c r="I40" s="8" t="inlineStr"/>
    </row>
    <row r="41">
      <c r="A41" s="7" t="n">
        <v>34</v>
      </c>
      <c r="B41" s="8" t="inlineStr">
        <is>
          <t>Хранилище только на добавление</t>
        </is>
      </c>
      <c r="C41" s="7" t="inlineStr">
        <is>
          <t>dev</t>
        </is>
      </c>
      <c r="D41" s="7" t="n">
        <v>1</v>
      </c>
      <c r="E41" s="9" t="n">
        <v>32</v>
      </c>
      <c r="F41" s="10">
        <f>E41*D41/8</f>
        <v>4</v>
      </c>
      <c r="G41" s="11">
        <f>Assumptions!$C$8</f>
        <v>2500</v>
      </c>
      <c r="H41" s="11">
        <f>F41*G41*8</f>
        <v>80000</v>
      </c>
      <c r="I41" s="8" t="inlineStr">
        <is>
          <t>NFR-04</t>
        </is>
      </c>
    </row>
    <row r="42">
      <c r="A42" s="7" t="n">
        <v>35</v>
      </c>
      <c r="B42" s="8" t="inlineStr">
        <is>
          <t>Запись аудита в одной транзакции с операцией администратора</t>
        </is>
      </c>
      <c r="C42" s="7" t="inlineStr">
        <is>
          <t>dev</t>
        </is>
      </c>
      <c r="D42" s="7" t="n">
        <v>1</v>
      </c>
      <c r="E42" s="9" t="n">
        <v>24</v>
      </c>
      <c r="F42" s="10">
        <f>E42*D42/8</f>
        <v>3</v>
      </c>
      <c r="G42" s="11">
        <f>Assumptions!$C$8</f>
        <v>2500</v>
      </c>
      <c r="H42" s="11">
        <f>F42*G42*8</f>
        <v>60000</v>
      </c>
      <c r="I42" s="8" t="inlineStr">
        <is>
          <t>FR-06</t>
        </is>
      </c>
    </row>
    <row r="43">
      <c r="A43" s="7" t="n">
        <v>36</v>
      </c>
      <c r="B43" s="8" t="inlineStr">
        <is>
          <t>Приём событий из очереди</t>
        </is>
      </c>
      <c r="C43" s="7" t="inlineStr">
        <is>
          <t>dev</t>
        </is>
      </c>
      <c r="D43" s="7" t="n">
        <v>1</v>
      </c>
      <c r="E43" s="9" t="n">
        <v>16</v>
      </c>
      <c r="F43" s="10">
        <f>E43*D43/8</f>
        <v>2</v>
      </c>
      <c r="G43" s="11">
        <f>Assumptions!$C$8</f>
        <v>2500</v>
      </c>
      <c r="H43" s="11">
        <f>F43*G43*8</f>
        <v>40000</v>
      </c>
      <c r="I43" s="8" t="inlineStr"/>
    </row>
    <row r="44">
      <c r="A44" s="7" t="n">
        <v>37</v>
      </c>
      <c r="B44" s="8" t="inlineStr">
        <is>
          <t>API чтения журнала</t>
        </is>
      </c>
      <c r="C44" s="7" t="inlineStr">
        <is>
          <t>dev</t>
        </is>
      </c>
      <c r="D44" s="7" t="n">
        <v>1</v>
      </c>
      <c r="E44" s="9" t="n">
        <v>20</v>
      </c>
      <c r="F44" s="10">
        <f>E44*D44/8</f>
        <v>2.5</v>
      </c>
      <c r="G44" s="11">
        <f>Assumptions!$C$8</f>
        <v>2500</v>
      </c>
      <c r="H44" s="11">
        <f>F44*G44*8</f>
        <v>50000</v>
      </c>
      <c r="I44" s="8" t="inlineStr"/>
    </row>
    <row r="45">
      <c r="A45" s="7" t="n">
        <v>38</v>
      </c>
      <c r="B45" s="8" t="inlineStr">
        <is>
          <t>Хранение по месяцам</t>
        </is>
      </c>
      <c r="C45" s="7" t="inlineStr">
        <is>
          <t>dev</t>
        </is>
      </c>
      <c r="D45" s="7" t="n">
        <v>1</v>
      </c>
      <c r="E45" s="9" t="n">
        <v>12</v>
      </c>
      <c r="F45" s="10">
        <f>E45*D45/8</f>
        <v>1.5</v>
      </c>
      <c r="G45" s="11">
        <f>Assumptions!$C$8</f>
        <v>2500</v>
      </c>
      <c r="H45" s="11">
        <f>F45*G45*8</f>
        <v>30000</v>
      </c>
      <c r="I45" s="8" t="inlineStr"/>
    </row>
    <row r="46">
      <c r="A46" s="7" t="n">
        <v>39</v>
      </c>
      <c r="B46" s="8" t="inlineStr">
        <is>
          <t>Тест: все операции администратора попадают в журнал</t>
        </is>
      </c>
      <c r="C46" s="7" t="inlineStr">
        <is>
          <t>tst</t>
        </is>
      </c>
      <c r="D46" s="7" t="n">
        <v>1</v>
      </c>
      <c r="E46" s="9" t="n">
        <v>24</v>
      </c>
      <c r="F46" s="10">
        <f>E46*D46/8</f>
        <v>3</v>
      </c>
      <c r="G46" s="11">
        <f>Assumptions!$C$8</f>
        <v>2500</v>
      </c>
      <c r="H46" s="11">
        <f>F46*G46*8</f>
        <v>60000</v>
      </c>
      <c r="I46" s="8" t="inlineStr"/>
    </row>
    <row r="47">
      <c r="A47" s="7" t="n">
        <v>40</v>
      </c>
      <c r="B47" s="8" t="inlineStr">
        <is>
          <t>Метрики</t>
        </is>
      </c>
      <c r="C47" s="7" t="inlineStr">
        <is>
          <t>dev</t>
        </is>
      </c>
      <c r="D47" s="7" t="n">
        <v>1</v>
      </c>
      <c r="E47" s="9" t="n">
        <v>8</v>
      </c>
      <c r="F47" s="10">
        <f>E47*D47/8</f>
        <v>1</v>
      </c>
      <c r="G47" s="11">
        <f>Assumptions!$C$8</f>
        <v>2500</v>
      </c>
      <c r="H47" s="11">
        <f>F47*G47*8</f>
        <v>20000</v>
      </c>
      <c r="I47" s="8" t="inlineStr">
        <is>
          <t>NFR-06</t>
        </is>
      </c>
    </row>
    <row r="48">
      <c r="A48" s="12" t="n"/>
      <c r="C48" s="12" t="n"/>
      <c r="D48" s="12" t="n"/>
    </row>
    <row r="49">
      <c r="A49" s="13" t="n"/>
      <c r="B49" s="14" t="inlineStr">
        <is>
          <t>Risks</t>
        </is>
      </c>
      <c r="C49" s="13" t="n"/>
      <c r="D49" s="13" t="n"/>
      <c r="E49" s="15">
        <f>Risks!$E$7</f>
        <v>200</v>
      </c>
      <c r="F49" s="10">
        <f>E49/8</f>
        <v>25</v>
      </c>
      <c r="G49" s="16">
        <f>Assumptions!$C$8</f>
        <v>2500</v>
      </c>
      <c r="H49" s="16">
        <f>E49*G49</f>
        <v>500000</v>
      </c>
      <c r="I49" s="14" t="inlineStr">
        <is>
          <t>Сумма Impact × Probability с листа Risks</t>
        </is>
      </c>
    </row>
    <row r="50">
      <c r="A50" s="13" t="n"/>
      <c r="B50" s="14" t="inlineStr">
        <is>
          <t>TOTAL cost</t>
        </is>
      </c>
      <c r="C50" s="13" t="n"/>
      <c r="D50" s="13" t="n"/>
      <c r="E50" s="15">
        <f>F50*8</f>
        <v>1032</v>
      </c>
      <c r="F50" s="10">
        <f>F3+F8+F19+F31+F39</f>
        <v>129</v>
      </c>
      <c r="G50" s="16" t="n"/>
      <c r="H50" s="16">
        <f>H3+H8+H19+H31+H39</f>
        <v>2580000</v>
      </c>
      <c r="I50" s="14" t="inlineStr">
        <is>
          <t>Пять фаз без рисков</t>
        </is>
      </c>
    </row>
    <row r="51">
      <c r="A51" s="17" t="n"/>
      <c r="B51" s="2" t="inlineStr">
        <is>
          <t>TOTAL with risk budget</t>
        </is>
      </c>
      <c r="C51" s="17" t="n"/>
      <c r="D51" s="17" t="n"/>
      <c r="E51" s="18">
        <f>E50+E49</f>
        <v>1232</v>
      </c>
      <c r="F51" s="19">
        <f>F50+F49</f>
        <v>154</v>
      </c>
      <c r="G51" s="20" t="n"/>
      <c r="H51" s="20">
        <f>H50+H49</f>
        <v>3080000</v>
      </c>
      <c r="I5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  <col width="14" customWidth="1" min="3" max="3"/>
  </cols>
  <sheetData>
    <row r="1">
      <c r="A1" s="2" t="inlineStr">
        <is>
          <t>Assumption</t>
        </is>
      </c>
      <c r="B1" s="2" t="inlineStr">
        <is>
          <t>Description</t>
        </is>
      </c>
      <c r="C1" s="2" t="inlineStr">
        <is>
          <t>Value</t>
        </is>
      </c>
    </row>
    <row r="2">
      <c r="A2" s="8" t="inlineStr">
        <is>
          <t>A1</t>
        </is>
      </c>
      <c r="B2" s="8" t="inlineStr">
        <is>
          <t>Оцениваю пять компонентов: BFF, Appointment Service, Schedule Service, Notification Worker, Audit Service. UI, инфраструктура и подключение к Auth Provider сюда не входят.</t>
        </is>
      </c>
      <c r="C2" s="8" t="n"/>
    </row>
    <row r="3">
      <c r="A3" s="8" t="inlineStr">
        <is>
          <t>A2</t>
        </is>
      </c>
      <c r="B3" s="8" t="inlineStr">
        <is>
          <t>Команда: архитектор (частично), 2 backend-разработчика, 1 QA.</t>
        </is>
      </c>
      <c r="C3" s="8" t="n"/>
    </row>
    <row r="4">
      <c r="A4" s="8" t="inlineStr">
        <is>
          <t>A3</t>
        </is>
      </c>
      <c r="B4" s="8" t="inlineStr">
        <is>
          <t>Стек: Java 21, Spring Boot, PostgreSQL, Redis, RabbitMQ.</t>
        </is>
      </c>
      <c r="C4" s="8" t="n"/>
    </row>
    <row r="5">
      <c r="A5" s="8" t="inlineStr">
        <is>
          <t>A4</t>
        </is>
      </c>
      <c r="B5" s="8" t="inlineStr">
        <is>
          <t>Задача готова, когда есть код, тесты и выкладка на staging.</t>
        </is>
      </c>
      <c r="C5" s="8" t="n"/>
    </row>
    <row r="6">
      <c r="A6" s="8" t="inlineStr">
        <is>
          <t>A5</t>
        </is>
      </c>
      <c r="B6" s="8" t="inlineStr">
        <is>
          <t>1 день = 8 часов. Total days = Estimate × Iterations / 8.</t>
        </is>
      </c>
      <c r="C6" s="8" t="n"/>
    </row>
    <row r="7">
      <c r="A7" s="8" t="inlineStr">
        <is>
          <t>A6</t>
        </is>
      </c>
      <c r="B7" s="8" t="inlineStr">
        <is>
          <t>Type: sa — архитектор, dev — разработчик, tst — QA.</t>
        </is>
      </c>
      <c r="C7" s="8" t="n"/>
    </row>
    <row r="8">
      <c r="A8" s="8" t="inlineStr">
        <is>
          <t>A7</t>
        </is>
      </c>
      <c r="B8" s="8" t="inlineStr">
        <is>
          <t>Ставка, руб/час. Условная, чтобы понять порядок суммы.</t>
        </is>
      </c>
      <c r="C8" s="11" t="n">
        <v>2500</v>
      </c>
    </row>
    <row r="9">
      <c r="A9" s="8" t="inlineStr">
        <is>
          <t>A8</t>
        </is>
      </c>
      <c r="B9" s="8" t="inlineStr">
        <is>
          <t>Шкала T-shirt в днях: S до 10, M 11–25, L 26–50, XL больше 50.</t>
        </is>
      </c>
      <c r="C9" s="8" t="n"/>
    </row>
    <row r="10">
      <c r="A10" s="8" t="inlineStr">
        <is>
          <t>A9</t>
        </is>
      </c>
      <c r="B10" s="8" t="inlineStr">
        <is>
          <t>Клиника в первую неделю даёт доступ к тестовому External Schedule API.</t>
        </is>
      </c>
      <c r="C1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</cols>
  <sheetData>
    <row r="1">
      <c r="A1" s="2" t="inlineStr">
        <is>
          <t>ID</t>
        </is>
      </c>
      <c r="B1" s="2" t="inlineStr">
        <is>
          <t>Requirement</t>
        </is>
      </c>
      <c r="C1" s="2" t="inlineStr">
        <is>
          <t>Где учтено в оценке</t>
        </is>
      </c>
    </row>
    <row r="2">
      <c r="A2" s="8" t="inlineStr">
        <is>
          <t>FR-01</t>
        </is>
      </c>
      <c r="B2" s="8" t="inlineStr">
        <is>
          <t>Пациент может записаться на свободный слот</t>
        </is>
      </c>
      <c r="C2" s="8" t="inlineStr">
        <is>
          <t>Appointment Service, BFF</t>
        </is>
      </c>
    </row>
    <row r="3">
      <c r="A3" s="8" t="inlineStr">
        <is>
          <t>FR-02</t>
        </is>
      </c>
      <c r="B3" s="8" t="inlineStr">
        <is>
          <t>Пациент может отменить запись</t>
        </is>
      </c>
      <c r="C3" s="8" t="inlineStr">
        <is>
          <t>Appointment Service, Notification Worker</t>
        </is>
      </c>
    </row>
    <row r="4">
      <c r="A4" s="8" t="inlineStr">
        <is>
          <t>FR-03</t>
        </is>
      </c>
      <c r="B4" s="8" t="inlineStr">
        <is>
          <t>Администратор управляет слотами расписания</t>
        </is>
      </c>
      <c r="C4" s="8" t="inlineStr">
        <is>
          <t>Schedule Service, Audit Service</t>
        </is>
      </c>
    </row>
    <row r="5">
      <c r="A5" s="8" t="inlineStr">
        <is>
          <t>FR-04</t>
        </is>
      </c>
      <c r="B5" s="8" t="inlineStr">
        <is>
          <t>Врач видит своё расписание</t>
        </is>
      </c>
      <c r="C5" s="8" t="inlineStr">
        <is>
          <t>Appointment Service, BFF</t>
        </is>
      </c>
    </row>
    <row r="6">
      <c r="A6" s="8" t="inlineStr">
        <is>
          <t>FR-05</t>
        </is>
      </c>
      <c r="B6" s="8" t="inlineStr">
        <is>
          <t>Система отправляет уведомления о записи и её изменениях</t>
        </is>
      </c>
      <c r="C6" s="8" t="inlineStr">
        <is>
          <t>Notification Worker, outbox в Appointment Service</t>
        </is>
      </c>
    </row>
    <row r="7">
      <c r="A7" s="8" t="inlineStr">
        <is>
          <t>FR-06</t>
        </is>
      </c>
      <c r="B7" s="8" t="inlineStr">
        <is>
          <t>Действия администраторов пишутся в журнал аудита</t>
        </is>
      </c>
      <c r="C7" s="8" t="inlineStr">
        <is>
          <t>Audit Service</t>
        </is>
      </c>
    </row>
    <row r="8">
      <c r="A8" s="8" t="inlineStr">
        <is>
          <t>NFR-01</t>
        </is>
      </c>
      <c r="B8" s="8" t="inlineStr">
        <is>
          <t>Поиск слотов: p95 &lt; 2 с в пик</t>
        </is>
      </c>
      <c r="C8" s="8" t="inlineStr">
        <is>
          <t>Schedule Service: кэш, реплика, нагрузочный тест</t>
        </is>
      </c>
    </row>
    <row r="9">
      <c r="A9" s="8" t="inlineStr">
        <is>
          <t>NFR-02</t>
        </is>
      </c>
      <c r="B9" s="8" t="inlineStr">
        <is>
          <t>Нет двойной записи на слот</t>
        </is>
      </c>
      <c r="C9" s="8" t="inlineStr">
        <is>
          <t>Appointment Service: транзакция, уникальный индекс, конкурентный тест</t>
        </is>
      </c>
    </row>
    <row r="10">
      <c r="A10" s="8" t="inlineStr">
        <is>
          <t>NFR-03</t>
        </is>
      </c>
      <c r="B10" s="8" t="inlineStr">
        <is>
          <t>Доступ по ролям, защита персональных данных</t>
        </is>
      </c>
      <c r="C10" s="8" t="inlineStr">
        <is>
          <t>BFF, Appointment Service, Audit Service</t>
        </is>
      </c>
    </row>
    <row r="11">
      <c r="A11" s="8" t="inlineStr">
        <is>
          <t>NFR-04</t>
        </is>
      </c>
      <c r="B11" s="8" t="inlineStr">
        <is>
          <t>Критические действия попадают в неизменяемый аудит-лог</t>
        </is>
      </c>
      <c r="C11" s="8" t="inlineStr">
        <is>
          <t>Audit Service</t>
        </is>
      </c>
    </row>
    <row r="12">
      <c r="A12" s="8" t="inlineStr">
        <is>
          <t>NFR-05</t>
        </is>
      </c>
      <c r="B12" s="8" t="inlineStr">
        <is>
          <t>Запись доступна в рабочее время клиники</t>
        </is>
      </c>
      <c r="C12" s="8" t="inlineStr">
        <is>
          <t>BFF, Schedule Service, Notification Worker</t>
        </is>
      </c>
    </row>
    <row r="13">
      <c r="A13" s="8" t="inlineStr">
        <is>
          <t>NFR-06</t>
        </is>
      </c>
      <c r="B13" s="8" t="inlineStr">
        <is>
          <t>Логи, метрики, трейсы</t>
        </is>
      </c>
      <c r="C13" s="8" t="inlineStr">
        <is>
          <t>Строка «Логи и метрики» в каждой фазе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4" customWidth="1" min="3" max="3"/>
    <col width="60" customWidth="1" min="4" max="4"/>
    <col width="22" customWidth="1" min="5" max="5"/>
  </cols>
  <sheetData>
    <row r="1">
      <c r="A1" s="21" t="inlineStr">
        <is>
          <t>Risk</t>
        </is>
      </c>
      <c r="B1" s="21" t="inlineStr">
        <is>
          <t>Impact (hours)</t>
        </is>
      </c>
      <c r="C1" s="21" t="inlineStr">
        <is>
          <t>Probability</t>
        </is>
      </c>
      <c r="D1" s="21" t="inlineStr">
        <is>
          <t>Mitigation</t>
        </is>
      </c>
      <c r="E1" s="21" t="inlineStr">
        <is>
          <t>Impact × Probability (hours)</t>
        </is>
      </c>
    </row>
    <row r="2">
      <c r="A2" s="8" t="inlineStr">
        <is>
          <t>R-01. External Schedule API работает не так, как в документации: переделка адаптера и синхронизации</t>
        </is>
      </c>
      <c r="B2" s="8" t="n">
        <v>160</v>
      </c>
      <c r="C2" s="22" t="n">
        <v>0.6</v>
      </c>
      <c r="D2" s="8" t="inlineStr">
        <is>
          <t>Spike 5 дней до начала работ</t>
        </is>
      </c>
      <c r="E2" s="8">
        <f>B2*C2</f>
        <v>96</v>
      </c>
    </row>
    <row r="3">
      <c r="A3" s="8" t="inlineStr">
        <is>
          <t>R-02. Конкурентный тест находит двойную запись после второго прогона</t>
        </is>
      </c>
      <c r="B3" s="8" t="n">
        <v>40</v>
      </c>
      <c r="C3" s="22" t="n">
        <v>0.4</v>
      </c>
      <c r="D3" s="8" t="inlineStr">
        <is>
          <t>Тест в начале работ по Appointment Service</t>
        </is>
      </c>
      <c r="E3" s="8">
        <f>B3*C3</f>
        <v>16</v>
      </c>
    </row>
    <row r="4">
      <c r="A4" s="8" t="inlineStr">
        <is>
          <t>R-03. Меняется ролевая модель, проверки доступа надо переделывать</t>
        </is>
      </c>
      <c r="B4" s="8" t="n">
        <v>80</v>
      </c>
      <c r="C4" s="22" t="n">
        <v>0.4</v>
      </c>
      <c r="D4" s="8" t="inlineStr">
        <is>
          <t>Согласовать роли с клиникой до старта</t>
        </is>
      </c>
      <c r="E4" s="8">
        <f>B4*C4</f>
        <v>32</v>
      </c>
    </row>
    <row r="5">
      <c r="A5" s="8" t="inlineStr">
        <is>
          <t>R-04. Поиск слотов не укладывается в 2 с после второго нагрузочного прогона</t>
        </is>
      </c>
      <c r="B5" s="8" t="n">
        <v>80</v>
      </c>
      <c r="C5" s="22" t="n">
        <v>0.4</v>
      </c>
      <c r="D5" s="8" t="inlineStr">
        <is>
          <t>Нагрузочный тест сразу, как готов поиск с кэшем</t>
        </is>
      </c>
      <c r="E5" s="8">
        <f>B5*C5</f>
        <v>32</v>
      </c>
    </row>
    <row r="6">
      <c r="A6" s="8" t="inlineStr">
        <is>
          <t>R-05. SMS-провайдер ограничивает отправку, нужен второй канал</t>
        </is>
      </c>
      <c r="B6" s="8" t="n">
        <v>40</v>
      </c>
      <c r="C6" s="22" t="n">
        <v>0.6</v>
      </c>
      <c r="D6" s="8" t="inlineStr">
        <is>
          <t>Выбрать провайдера до начала работ, заглушка с отказами</t>
        </is>
      </c>
      <c r="E6" s="8">
        <f>B6*C6</f>
        <v>24</v>
      </c>
    </row>
    <row r="7">
      <c r="A7" s="23" t="inlineStr">
        <is>
          <t>Total</t>
        </is>
      </c>
      <c r="B7" s="23">
        <f>SUM(B2:B6)</f>
        <v>400</v>
      </c>
      <c r="C7" s="23" t="n"/>
      <c r="D7" s="23" t="n"/>
      <c r="E7" s="23">
        <f>SUM(E2:E6)</f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Phase</t>
        </is>
      </c>
      <c r="B1" s="2" t="inlineStr">
        <is>
          <t>Delivery</t>
        </is>
      </c>
    </row>
    <row r="2">
      <c r="A2" s="8" t="inlineStr">
        <is>
          <t>Phase 1</t>
        </is>
      </c>
      <c r="B2" s="8" t="inlineStr">
        <is>
          <t>BFF: 10 маршрутов, OpenAPI, отчёт API-тестов</t>
        </is>
      </c>
    </row>
    <row r="3">
      <c r="A3" s="8" t="inlineStr">
        <is>
          <t>Phase 2</t>
        </is>
      </c>
      <c r="B3" s="8" t="inlineStr">
        <is>
          <t>Appointment Service: запись и отмена, отчёт конкурентного теста</t>
        </is>
      </c>
    </row>
    <row r="4">
      <c r="A4" s="8" t="inlineStr">
        <is>
          <t>Phase 3</t>
        </is>
      </c>
      <c r="B4" s="8" t="inlineStr">
        <is>
          <t>Schedule Service: результат spike, поиск слотов с кэшем, адаптер внешнего API, отчёт нагрузочного теста</t>
        </is>
      </c>
    </row>
    <row r="5">
      <c r="A5" s="8" t="inlineStr">
        <is>
          <t>Phase 4</t>
        </is>
      </c>
      <c r="B5" s="8" t="inlineStr">
        <is>
          <t>Notification Worker: SMS и email с retry и DLQ</t>
        </is>
      </c>
    </row>
    <row r="6">
      <c r="A6" s="8" t="inlineStr">
        <is>
          <t>Phase 5</t>
        </is>
      </c>
      <c r="B6" s="8" t="inlineStr">
        <is>
          <t>Audit Service: журнал и API чтения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2026-10-01T18:36:11Z</dcterms:created>
  <dcterms:modified xmlns:dcterms="http://purl.org/dc/terms/" xmlns:xsi="http://www.w3.org/2001/XMLSchema-instance" xsi:type="dcterms:W3CDTF">2026-10-01T18:36:11Z</dcterms:modified>
</cp:coreProperties>
</file>